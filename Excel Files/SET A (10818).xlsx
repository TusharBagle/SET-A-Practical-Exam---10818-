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esktop\Practical Exam (Interview)\"/>
    </mc:Choice>
  </mc:AlternateContent>
  <xr:revisionPtr revIDLastSave="0" documentId="13_ncr:1_{EDEA3630-31E4-40AE-B874-2281A753BC6F}" xr6:coauthVersionLast="47" xr6:coauthVersionMax="47" xr10:uidLastSave="{00000000-0000-0000-0000-000000000000}"/>
  <bookViews>
    <workbookView xWindow="-108" yWindow="-108" windowWidth="23256" windowHeight="12456" activeTab="3" xr2:uid="{D3C26878-8A52-4639-A7A1-2B20A8EEF32B}"/>
  </bookViews>
  <sheets>
    <sheet name="Row Sheet" sheetId="2" r:id="rId1"/>
    <sheet name="Lookup Sheet" sheetId="3" r:id="rId2"/>
    <sheet name="Clean Sheet" sheetId="1" r:id="rId3"/>
    <sheet name="Summary Sheet" sheetId="5" r:id="rId4"/>
  </sheets>
  <definedNames>
    <definedName name="ExternalData_1" localSheetId="2" hidden="1">'Clean Sheet'!$A$1:$F$13</definedName>
    <definedName name="ExternalData_1" localSheetId="1" hidden="1">'Lookup Sheet'!$A$1:$C$5</definedName>
    <definedName name="ExternalData_1" localSheetId="0" hidden="1">'Row Sheet'!$A$1:$F$14</definedName>
    <definedName name="ExternalData_2" localSheetId="2" hidden="1">'Clean Sheet'!$A$37:$F$50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5" l="1"/>
  <c r="N8" i="5"/>
  <c r="N6" i="5"/>
  <c r="I4" i="1"/>
  <c r="H2" i="1"/>
  <c r="H3" i="1"/>
  <c r="H4" i="1"/>
  <c r="H5" i="1"/>
  <c r="H6" i="1"/>
  <c r="H7" i="1"/>
  <c r="H8" i="1"/>
  <c r="H9" i="1"/>
  <c r="H10" i="1"/>
  <c r="H11" i="1"/>
  <c r="H12" i="1"/>
  <c r="H13" i="1"/>
  <c r="G2" i="1"/>
  <c r="G3" i="1"/>
  <c r="G4" i="1"/>
  <c r="G5" i="1"/>
  <c r="G6" i="1"/>
  <c r="G7" i="1"/>
  <c r="G8" i="1"/>
  <c r="G9" i="1"/>
  <c r="G10" i="1"/>
  <c r="G11" i="1"/>
  <c r="G12" i="1"/>
  <c r="G13" i="1"/>
  <c r="L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AE3EE3-B2E6-401D-878A-FA4A92B02D8E}" keepAlive="1" name="Query - Deliveries" description="Connection to the 'Deliveries' query in the workbook." type="5" refreshedVersion="8" background="1" saveData="1">
    <dbPr connection="Provider=Microsoft.Mashup.OleDb.1;Data Source=$Workbook$;Location=Deliveries;Extended Properties=&quot;&quot;" command="SELECT * FROM [Deliveries]"/>
  </connection>
  <connection id="2" xr16:uid="{C84DE57A-702D-4294-8504-10B54ED4C55C}" keepAlive="1" name="Query - Deliveries (2)" description="Connection to the 'Deliveries (2)' query in the workbook." type="5" refreshedVersion="8" background="1" saveData="1">
    <dbPr connection="Provider=Microsoft.Mashup.OleDb.1;Data Source=$Workbook$;Location=&quot;Deliveries (2)&quot;;Extended Properties=&quot;&quot;" command="SELECT * FROM [Deliveries (2)]"/>
  </connection>
  <connection id="3" xr16:uid="{87EED78A-A86E-466B-B18F-6B03637BB33F}" keepAlive="1" name="Query - Deliveries (3)" description="Connection to the 'Deliveries (3)' query in the workbook." type="5" refreshedVersion="8" background="1" saveData="1">
    <dbPr connection="Provider=Microsoft.Mashup.OleDb.1;Data Source=$Workbook$;Location=&quot;Deliveries (3)&quot;;Extended Properties=&quot;&quot;" command="SELECT * FROM [Deliveries (3)]"/>
  </connection>
  <connection id="4" xr16:uid="{E294B8FD-0F34-467A-AB83-EC238B76CED9}" keepAlive="1" name="Query - Deliveries (4)" description="Connection to the 'Deliveries (4)' query in the workbook." type="5" refreshedVersion="8" background="1" saveData="1">
    <dbPr connection="Provider=Microsoft.Mashup.OleDb.1;Data Source=$Workbook$;Location=&quot;Deliveries (4)&quot;;Extended Properties=&quot;&quot;" command="SELECT * FROM [Deliveries (4)]"/>
  </connection>
  <connection id="5" xr16:uid="{EA70FEBD-9AE2-4166-A1F5-80C749E7AB6A}" keepAlive="1" name="Query - Routes" description="Connection to the 'Routes' query in the workbook." type="5" refreshedVersion="8" background="1" saveData="1">
    <dbPr connection="Provider=Microsoft.Mashup.OleDb.1;Data Source=$Workbook$;Location=Routes;Extended Properties=&quot;&quot;" command="SELECT * FROM [Routes]"/>
  </connection>
</connections>
</file>

<file path=xl/sharedStrings.xml><?xml version="1.0" encoding="utf-8"?>
<sst xmlns="http://schemas.openxmlformats.org/spreadsheetml/2006/main" count="166" uniqueCount="34">
  <si>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</si>
  <si>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</si>
  <si>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</si>
  <si>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</si>
  <si>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</si>
  <si>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</si>
  <si>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</si>
  <si>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</si>
  <si>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</si>
  <si>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</si>
  <si>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</si>
  <si>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</si>
  <si>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</si>
  <si>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</si>
  <si>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</si>
  <si>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</si>
  <si>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</si>
  <si>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</si>
  <si>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</si>
  <si>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</si>
  <si>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</si>
  <si>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</si>
  <si>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</si>
  <si>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</si>
  <si>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Rows With Duplicates</t>
  </si>
  <si>
    <t>Rows Without Duplicates</t>
  </si>
  <si>
    <t>Service_Type</t>
  </si>
  <si>
    <t>Delay_Days</t>
  </si>
  <si>
    <t>Total Delay Days By Hub</t>
  </si>
  <si>
    <t>Row Labels</t>
  </si>
  <si>
    <t>Grand Total</t>
  </si>
  <si>
    <t>Column Labels</t>
  </si>
  <si>
    <t>Sum of Delay_Days</t>
  </si>
  <si>
    <t xml:space="preserve">Total Delay Days By Servicce Type and 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</si>
</sst>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/>
    <xf numFmtId="1" fontId="2" fillId="0" borderId="2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0" fillId="0" borderId="0" xfId="0" applyNumberFormat="1"/>
    <xf numFmtId="1" fontId="2" fillId="0" borderId="7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pivotButton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7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[SET A (10818).xlsx]Summary Sheet!PivotTable2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Delay Days By Service Type &amp;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Sheet'!$B$4:$B$5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Sheet'!$A$6:$A$8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'Summary Sheet'!$B$6:$B$8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0-44BF-A6DA-860CAEF33AFC}"/>
            </c:ext>
          </c:extLst>
        </c:ser>
        <c:ser>
          <c:idx val="1"/>
          <c:order val="1"/>
          <c:tx>
            <c:strRef>
              <c:f>'Summary Sheet'!$C$4:$C$5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Sheet'!$A$6:$A$8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'Summary Sheet'!$C$6:$C$8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0-44BF-A6DA-860CAEF33AFC}"/>
            </c:ext>
          </c:extLst>
        </c:ser>
        <c:ser>
          <c:idx val="2"/>
          <c:order val="2"/>
          <c:tx>
            <c:strRef>
              <c:f>'Summary Sheet'!$D$4:$D$5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Sheet'!$A$6:$A$8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'Summary Sheet'!$D$6:$D$8</c:f>
              <c:numCache>
                <c:formatCode>General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D0-44BF-A6DA-860CAEF33A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7619887"/>
        <c:axId val="382938127"/>
      </c:barChart>
      <c:catAx>
        <c:axId val="347619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 Type</a:t>
                </a:r>
              </a:p>
            </c:rich>
          </c:tx>
          <c:layout>
            <c:manualLayout>
              <c:xMode val="edge"/>
              <c:yMode val="edge"/>
              <c:x val="0.4204108072752886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938127"/>
        <c:crosses val="autoZero"/>
        <c:auto val="1"/>
        <c:lblAlgn val="ctr"/>
        <c:lblOffset val="100"/>
        <c:noMultiLvlLbl val="0"/>
      </c:catAx>
      <c:valAx>
        <c:axId val="382938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Delay Days</a:t>
                </a:r>
              </a:p>
            </c:rich>
          </c:tx>
          <c:layout>
            <c:manualLayout>
              <c:xMode val="edge"/>
              <c:yMode val="edge"/>
              <c:x val="2.1299254526091587E-2"/>
              <c:y val="0.30709864391951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61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9</xdr:row>
      <xdr:rowOff>171450</xdr:rowOff>
    </xdr:from>
    <xdr:to>
      <xdr:col>7</xdr:col>
      <xdr:colOff>601980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0A8CF-6A31-E52E-D8E5-6A24C4867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1.488245023145" createdVersion="8" refreshedVersion="8" minRefreshableVersion="3" recordCount="12" xr:uid="{A06EA4CE-EF7E-4302-8F02-87844D2AE8A0}">
  <cacheSource type="worksheet">
    <worksheetSource name="Deliveries4"/>
  </cacheSource>
  <cacheFields count="8">
    <cacheField name="record_id" numFmtId="1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 count="3">
        <s v="Mumbai"/>
        <s v="Chennai"/>
        <s v="Delhi"/>
      </sharedItems>
    </cacheField>
    <cacheField name="promised_days" numFmtId="1">
      <sharedItems containsSemiMixedTypes="0" containsString="0" containsNumber="1" containsInteger="1" minValue="2" maxValue="6"/>
    </cacheField>
    <cacheField name="actual_days" numFmtId="1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x v="0"/>
    <n v="2"/>
    <n v="2"/>
    <x v="0"/>
    <n v="0"/>
  </r>
  <r>
    <n v="2"/>
    <x v="0"/>
    <s v="R2"/>
    <x v="1"/>
    <n v="3"/>
    <n v="4"/>
    <x v="0"/>
    <n v="1"/>
  </r>
  <r>
    <n v="3"/>
    <x v="0"/>
    <s v="R3"/>
    <x v="2"/>
    <n v="5"/>
    <n v="8"/>
    <x v="1"/>
    <n v="3"/>
  </r>
  <r>
    <n v="4"/>
    <x v="0"/>
    <s v="R4"/>
    <x v="0"/>
    <n v="6"/>
    <n v="10"/>
    <x v="1"/>
    <n v="4"/>
  </r>
  <r>
    <n v="5"/>
    <x v="1"/>
    <s v="R1"/>
    <x v="1"/>
    <n v="2"/>
    <n v="5"/>
    <x v="0"/>
    <n v="3"/>
  </r>
  <r>
    <n v="6"/>
    <x v="1"/>
    <s v="R2"/>
    <x v="2"/>
    <n v="3"/>
    <n v="3"/>
    <x v="0"/>
    <n v="0"/>
  </r>
  <r>
    <n v="7"/>
    <x v="1"/>
    <s v="R3"/>
    <x v="2"/>
    <n v="5"/>
    <n v="10"/>
    <x v="1"/>
    <n v="5"/>
  </r>
  <r>
    <n v="8"/>
    <x v="1"/>
    <s v="R4"/>
    <x v="1"/>
    <n v="6"/>
    <n v="7"/>
    <x v="1"/>
    <n v="1"/>
  </r>
  <r>
    <n v="9"/>
    <x v="2"/>
    <s v="R1"/>
    <x v="2"/>
    <n v="2"/>
    <n v="8"/>
    <x v="0"/>
    <n v="6"/>
  </r>
  <r>
    <n v="10"/>
    <x v="2"/>
    <s v="R2"/>
    <x v="0"/>
    <n v="3"/>
    <n v="5"/>
    <x v="0"/>
    <n v="2"/>
  </r>
  <r>
    <n v="11"/>
    <x v="2"/>
    <s v="R3"/>
    <x v="1"/>
    <n v="5"/>
    <n v="5"/>
    <x v="1"/>
    <n v="0"/>
  </r>
  <r>
    <n v="12"/>
    <x v="2"/>
    <s v="R4"/>
    <x v="0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0D8F0-D5BC-415D-BAA5-851CFDFDC9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E8" firstHeaderRow="1" firstDataRow="2" firstDataCol="1"/>
  <pivotFields count="8">
    <pivotField numFmtId="1" showAll="0"/>
    <pivotField axis="axisCol" showAll="0">
      <items count="4">
        <item x="0"/>
        <item x="1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numFmtId="1" showAll="0"/>
    <pivotField numFmtId="1"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elay_Days" fld="7" baseField="0" baseItem="0"/>
  </dataFields>
  <formats count="40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6" type="button" dataOnly="0" labelOnly="1" outline="0" axis="axisRow" fieldPosition="0"/>
    </format>
    <format dxfId="33">
      <pivotArea dataOnly="0" labelOnly="1" fieldPosition="0">
        <references count="1">
          <reference field="6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6" type="button" dataOnly="0" labelOnly="1" outline="0" axis="axisRow" fieldPosition="0"/>
    </format>
    <format dxfId="23">
      <pivotArea dataOnly="0" labelOnly="1" fieldPosition="0">
        <references count="1">
          <reference field="6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6" type="button" dataOnly="0" labelOnly="1" outline="0" axis="axisRow" fieldPosition="0"/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hartFormats count="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B4BF70-58D2-40D2-B33A-81C3927D298D}" autoFormatId="16" applyNumberFormats="0" applyBorderFormats="0" applyFontFormats="0" applyPatternFormats="0" applyAlignmentFormats="0" applyWidthHeightFormats="0">
  <queryTableRefresh nextId="7">
    <queryTableFields count="6">
      <queryTableField id="1" name="record_id" tableColumnId="1"/>
      <queryTableField id="2" name="month" tableColumnId="2"/>
      <queryTableField id="3" name="route_id" tableColumnId="3"/>
      <queryTableField id="4" name="hub" tableColumnId="4"/>
      <queryTableField id="5" name="promised_days" tableColumnId="5"/>
      <queryTableField id="6" name="actual_day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97F26C7-E55B-4A20-AE46-E5ADA3290634}" autoFormatId="16" applyNumberFormats="0" applyBorderFormats="0" applyFontFormats="0" applyPatternFormats="0" applyAlignmentFormats="0" applyWidthHeightFormats="0">
  <queryTableRefresh nextId="4">
    <queryTableFields count="3">
      <queryTableField id="1" name="route_id" tableColumnId="1"/>
      <queryTableField id="2" name="route" tableColumnId="2"/>
      <queryTableField id="3" name="service_typ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D82451E-B77E-4027-8022-1C764090EE86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record_id" tableColumnId="1"/>
      <queryTableField id="2" name="month" tableColumnId="2"/>
      <queryTableField id="3" name="route_id" tableColumnId="3"/>
      <queryTableField id="4" name="hub" tableColumnId="4"/>
      <queryTableField id="5" name="promised_days" tableColumnId="5"/>
      <queryTableField id="6" name="actual_days" tableColumnId="6"/>
      <queryTableField id="7" dataBound="0" tableColumnId="7"/>
      <queryTableField id="8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BFCDFF2-E097-4B4B-9E27-276F68938096}" autoFormatId="16" applyNumberFormats="0" applyBorderFormats="0" applyFontFormats="0" applyPatternFormats="0" applyAlignmentFormats="0" applyWidthHeightFormats="0">
  <queryTableRefresh nextId="7">
    <queryTableFields count="6">
      <queryTableField id="1" name="record_id" tableColumnId="1"/>
      <queryTableField id="2" name="month" tableColumnId="2"/>
      <queryTableField id="3" name="route_id" tableColumnId="3"/>
      <queryTableField id="4" name="hub" tableColumnId="4"/>
      <queryTableField id="5" name="promised_days" tableColumnId="5"/>
      <queryTableField id="6" name="actual_day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85290-4228-491A-816D-2F686DC03EB0}" name="Deliveries" displayName="Deliveries" ref="A1:F14" tableType="queryTable" totalsRowShown="0">
  <autoFilter ref="A1:F14" xr:uid="{F4085290-4228-491A-816D-2F686DC03EB0}"/>
  <tableColumns count="6">
    <tableColumn id="1" xr3:uid="{27E4B3AD-AB2D-4CF5-9FBA-4FC0E35DB056}" uniqueName="1" name="record_id" queryTableFieldId="1"/>
    <tableColumn id="2" xr3:uid="{3510423E-4CF4-40A5-B645-C656B380EA84}" uniqueName="2" name="month" queryTableFieldId="2" dataDxfId="45"/>
    <tableColumn id="3" xr3:uid="{F97DA8DD-A092-4B59-B8FD-DE9CB8C68FD7}" uniqueName="3" name="route_id" queryTableFieldId="3" dataDxfId="44"/>
    <tableColumn id="4" xr3:uid="{9650DC5E-7764-4A9E-A6E9-447E3F3AA6EF}" uniqueName="4" name="hub" queryTableFieldId="4" dataDxfId="43"/>
    <tableColumn id="5" xr3:uid="{6C18017A-4524-46B4-8886-C5A337098721}" uniqueName="5" name="promised_days" queryTableFieldId="5"/>
    <tableColumn id="6" xr3:uid="{11D75887-FACD-4138-987A-13ACD83D2DA8}" uniqueName="6" name="actual_days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471978-155E-4CBE-8FB8-C1D819EFE262}" name="Routes" displayName="Routes" ref="A1:C5" tableType="queryTable" totalsRowShown="0">
  <autoFilter ref="A1:C5" xr:uid="{BA471978-155E-4CBE-8FB8-C1D819EFE262}"/>
  <tableColumns count="3">
    <tableColumn id="1" xr3:uid="{C2D207AC-36C4-47F3-9052-9A758417B759}" uniqueName="1" name="route_id" queryTableFieldId="1" dataDxfId="42"/>
    <tableColumn id="2" xr3:uid="{EE420AAF-DB78-4D4C-AE08-C12C5BE64372}" uniqueName="2" name="route" queryTableFieldId="2" dataDxfId="41"/>
    <tableColumn id="3" xr3:uid="{3DE7CD27-42DA-47D0-A03B-FE989CEB55A6}" uniqueName="3" name="service_type" queryTableFieldId="3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D04765-C342-4229-BFEA-DA5BC18AD24E}" name="Deliveries4" displayName="Deliveries4" ref="A1:H13" tableType="queryTable" totalsRowShown="0" headerRowDxfId="69" dataDxfId="67" headerRowBorderDxfId="68" tableBorderDxfId="66" totalsRowBorderDxfId="65">
  <autoFilter ref="A1:H13" xr:uid="{A9D04765-C342-4229-BFEA-DA5BC18AD24E}"/>
  <tableColumns count="8">
    <tableColumn id="1" xr3:uid="{E85F9B53-5ABD-4472-A758-83C13176EDA1}" uniqueName="1" name="record_id" queryTableFieldId="1" dataDxfId="64"/>
    <tableColumn id="2" xr3:uid="{282878E2-0F4D-4ED6-9B28-E8F929F21ACE}" uniqueName="2" name="month" queryTableFieldId="2" dataDxfId="63"/>
    <tableColumn id="3" xr3:uid="{80294128-8405-4154-B180-40DB9CBF336A}" uniqueName="3" name="route_id" queryTableFieldId="3" dataDxfId="62"/>
    <tableColumn id="4" xr3:uid="{41CFA1A4-EE16-4C23-994B-5228C7E51363}" uniqueName="4" name="hub" queryTableFieldId="4" dataDxfId="61"/>
    <tableColumn id="5" xr3:uid="{37DBAD7E-B9CA-4D0C-BAA1-8C42F5FC89E4}" uniqueName="5" name="promised_days" queryTableFieldId="5" dataDxfId="60"/>
    <tableColumn id="6" xr3:uid="{E8AF092C-E80B-4127-AF98-F0064FC7C93D}" uniqueName="6" name="actual_days" queryTableFieldId="6" dataDxfId="59"/>
    <tableColumn id="7" xr3:uid="{D40197B2-6032-43D1-A371-2B2F3F94ADD4}" uniqueName="7" name="Service_Type" queryTableFieldId="7" dataDxfId="58">
      <calculatedColumnFormula>_xlfn.XLOOKUP(Deliveries4[[#This Row],[route_id]], Routes[route_id], Routes[service_type])</calculatedColumnFormula>
    </tableColumn>
    <tableColumn id="8" xr3:uid="{78ACF1E1-52F9-4EB4-9825-5A0F39AC771D}" uniqueName="8" name="Delay_Days" queryTableFieldId="8" dataDxfId="57">
      <calculatedColumnFormula>MAX(Deliveries4[[#This Row],[actual_days]] - Deliveries4[[#This Row],[promised_days]], 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919102-01EB-427A-A90F-82309F008127}" name="Deliveries6" displayName="Deliveries6" ref="A37:F50" tableType="queryTable" totalsRowShown="0" headerRowDxfId="56" dataDxfId="54" headerRowBorderDxfId="55" tableBorderDxfId="53" totalsRowBorderDxfId="52">
  <autoFilter ref="A37:F50" xr:uid="{D9919102-01EB-427A-A90F-82309F008127}"/>
  <tableColumns count="6">
    <tableColumn id="1" xr3:uid="{D79CE4D5-99B3-45C4-9CD2-335296345B5D}" uniqueName="1" name="record_id" queryTableFieldId="1" dataDxfId="51"/>
    <tableColumn id="2" xr3:uid="{33759C63-5159-45A2-A559-243F94B2DA28}" uniqueName="2" name="month" queryTableFieldId="2" dataDxfId="50"/>
    <tableColumn id="3" xr3:uid="{EBBAC12F-0278-49FD-B503-9AC57D6B669C}" uniqueName="3" name="route_id" queryTableFieldId="3" dataDxfId="49"/>
    <tableColumn id="4" xr3:uid="{1D4D387B-7F22-4C06-8C50-6B9B27DE5B29}" uniqueName="4" name="hub" queryTableFieldId="4" dataDxfId="48"/>
    <tableColumn id="5" xr3:uid="{240329A2-6250-487D-AC2A-14410D50DF24}" uniqueName="5" name="promised_days" queryTableFieldId="5" dataDxfId="47"/>
    <tableColumn id="6" xr3:uid="{7CCE5716-2A1B-427C-A5D6-910D932874E8}" uniqueName="6" name="actual_days" queryTableFieldId="6" dataDxfId="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584D-DA40-4C47-A0C1-D2B23074F824}">
  <dimension ref="A1:F14"/>
  <sheetViews>
    <sheetView workbookViewId="0">
      <selection sqref="A1:F14"/>
    </sheetView>
  </sheetViews>
  <sheetFormatPr defaultRowHeight="14.4" x14ac:dyDescent="0.3"/>
  <cols>
    <col min="1" max="1" width="11.109375" bestFit="1" customWidth="1"/>
    <col min="2" max="2" width="8.5546875" bestFit="1" customWidth="1"/>
    <col min="3" max="3" width="10" bestFit="1" customWidth="1"/>
    <col min="4" max="4" width="7.6640625" bestFit="1" customWidth="1"/>
    <col min="5" max="5" width="16" bestFit="1" customWidth="1"/>
    <col min="6" max="6" width="1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</row>
    <row r="3" spans="1:6" x14ac:dyDescent="0.3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</row>
    <row r="4" spans="1:6" x14ac:dyDescent="0.3">
      <c r="A4">
        <v>3</v>
      </c>
      <c r="B4" t="s">
        <v>6</v>
      </c>
      <c r="C4" t="s">
        <v>11</v>
      </c>
      <c r="D4" t="s">
        <v>12</v>
      </c>
      <c r="E4">
        <v>5</v>
      </c>
      <c r="F4">
        <v>8</v>
      </c>
    </row>
    <row r="5" spans="1:6" x14ac:dyDescent="0.3">
      <c r="A5">
        <v>4</v>
      </c>
      <c r="B5" t="s">
        <v>6</v>
      </c>
      <c r="C5" t="s">
        <v>13</v>
      </c>
      <c r="D5" t="s">
        <v>8</v>
      </c>
      <c r="E5">
        <v>6</v>
      </c>
      <c r="F5">
        <v>10</v>
      </c>
    </row>
    <row r="6" spans="1:6" x14ac:dyDescent="0.3">
      <c r="A6">
        <v>5</v>
      </c>
      <c r="B6" t="s">
        <v>14</v>
      </c>
      <c r="C6" t="s">
        <v>7</v>
      </c>
      <c r="D6" t="s">
        <v>10</v>
      </c>
      <c r="E6">
        <v>2</v>
      </c>
      <c r="F6">
        <v>5</v>
      </c>
    </row>
    <row r="7" spans="1:6" x14ac:dyDescent="0.3">
      <c r="A7">
        <v>6</v>
      </c>
      <c r="B7" t="s">
        <v>14</v>
      </c>
      <c r="C7" t="s">
        <v>9</v>
      </c>
      <c r="D7" t="s">
        <v>12</v>
      </c>
      <c r="E7">
        <v>3</v>
      </c>
      <c r="F7">
        <v>3</v>
      </c>
    </row>
    <row r="8" spans="1:6" x14ac:dyDescent="0.3">
      <c r="A8">
        <v>7</v>
      </c>
      <c r="B8" t="s">
        <v>14</v>
      </c>
      <c r="C8" t="s">
        <v>11</v>
      </c>
      <c r="D8" t="s">
        <v>12</v>
      </c>
      <c r="E8">
        <v>5</v>
      </c>
      <c r="F8">
        <v>10</v>
      </c>
    </row>
    <row r="9" spans="1:6" x14ac:dyDescent="0.3">
      <c r="A9">
        <v>8</v>
      </c>
      <c r="B9" t="s">
        <v>14</v>
      </c>
      <c r="C9" t="s">
        <v>13</v>
      </c>
      <c r="D9" t="s">
        <v>10</v>
      </c>
      <c r="E9">
        <v>6</v>
      </c>
      <c r="F9">
        <v>7</v>
      </c>
    </row>
    <row r="10" spans="1:6" x14ac:dyDescent="0.3">
      <c r="A10">
        <v>9</v>
      </c>
      <c r="B10" t="s">
        <v>15</v>
      </c>
      <c r="C10" t="s">
        <v>7</v>
      </c>
      <c r="D10" t="s">
        <v>12</v>
      </c>
      <c r="E10">
        <v>2</v>
      </c>
      <c r="F10">
        <v>8</v>
      </c>
    </row>
    <row r="11" spans="1:6" x14ac:dyDescent="0.3">
      <c r="A11">
        <v>10</v>
      </c>
      <c r="B11" t="s">
        <v>15</v>
      </c>
      <c r="C11" t="s">
        <v>9</v>
      </c>
      <c r="D11" t="s">
        <v>8</v>
      </c>
      <c r="E11">
        <v>3</v>
      </c>
      <c r="F11">
        <v>5</v>
      </c>
    </row>
    <row r="12" spans="1:6" x14ac:dyDescent="0.3">
      <c r="A12">
        <v>11</v>
      </c>
      <c r="B12" t="s">
        <v>15</v>
      </c>
      <c r="C12" t="s">
        <v>11</v>
      </c>
      <c r="D12" t="s">
        <v>10</v>
      </c>
      <c r="E12">
        <v>5</v>
      </c>
      <c r="F12">
        <v>5</v>
      </c>
    </row>
    <row r="13" spans="1:6" x14ac:dyDescent="0.3">
      <c r="A13">
        <v>12</v>
      </c>
      <c r="B13" t="s">
        <v>15</v>
      </c>
      <c r="C13" t="s">
        <v>13</v>
      </c>
      <c r="D13" t="s">
        <v>8</v>
      </c>
      <c r="E13">
        <v>6</v>
      </c>
      <c r="F13">
        <v>15</v>
      </c>
    </row>
    <row r="14" spans="1:6" x14ac:dyDescent="0.3">
      <c r="A14">
        <v>12</v>
      </c>
      <c r="B14" t="s">
        <v>15</v>
      </c>
      <c r="C14" t="s">
        <v>13</v>
      </c>
      <c r="D14" t="s">
        <v>8</v>
      </c>
      <c r="E14">
        <v>6</v>
      </c>
      <c r="F14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284C-8B59-425A-987F-32F3DBDD09A0}">
  <dimension ref="A1:C5"/>
  <sheetViews>
    <sheetView workbookViewId="0"/>
  </sheetViews>
  <sheetFormatPr defaultRowHeight="14.4" x14ac:dyDescent="0.3"/>
  <cols>
    <col min="1" max="1" width="10" bestFit="1" customWidth="1"/>
    <col min="2" max="2" width="13.77734375" bestFit="1" customWidth="1"/>
    <col min="3" max="3" width="13.6640625" bestFit="1" customWidth="1"/>
  </cols>
  <sheetData>
    <row r="1" spans="1:3" x14ac:dyDescent="0.3">
      <c r="A1" t="s">
        <v>2</v>
      </c>
      <c r="B1" t="s">
        <v>16</v>
      </c>
      <c r="C1" t="s">
        <v>17</v>
      </c>
    </row>
    <row r="2" spans="1:3" x14ac:dyDescent="0.3">
      <c r="A2" t="s">
        <v>7</v>
      </c>
      <c r="B2" t="s">
        <v>18</v>
      </c>
      <c r="C2" t="s">
        <v>19</v>
      </c>
    </row>
    <row r="3" spans="1:3" x14ac:dyDescent="0.3">
      <c r="A3" t="s">
        <v>9</v>
      </c>
      <c r="B3" t="s">
        <v>20</v>
      </c>
      <c r="C3" t="s">
        <v>19</v>
      </c>
    </row>
    <row r="4" spans="1:3" x14ac:dyDescent="0.3">
      <c r="A4" t="s">
        <v>11</v>
      </c>
      <c r="B4" t="s">
        <v>21</v>
      </c>
      <c r="C4" t="s">
        <v>22</v>
      </c>
    </row>
    <row r="5" spans="1:3" x14ac:dyDescent="0.3">
      <c r="A5" t="s">
        <v>13</v>
      </c>
      <c r="B5" t="s">
        <v>23</v>
      </c>
      <c r="C5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84C6-7AA9-40B3-BD45-06367CDDD3B2}">
  <dimension ref="A1:M50"/>
  <sheetViews>
    <sheetView workbookViewId="0">
      <selection activeCell="G19" sqref="G19"/>
    </sheetView>
  </sheetViews>
  <sheetFormatPr defaultRowHeight="14.4" x14ac:dyDescent="0.3"/>
  <cols>
    <col min="1" max="1" width="12.6640625" style="13" customWidth="1"/>
    <col min="2" max="2" width="10.44140625" customWidth="1"/>
    <col min="3" max="3" width="12.21875" customWidth="1"/>
    <col min="4" max="4" width="13.5546875" customWidth="1"/>
    <col min="5" max="5" width="16" style="13" bestFit="1" customWidth="1"/>
    <col min="6" max="6" width="13.109375" style="13" bestFit="1" customWidth="1"/>
    <col min="7" max="7" width="14.77734375" customWidth="1"/>
    <col min="8" max="8" width="15" customWidth="1"/>
    <col min="10" max="10" width="9.77734375" customWidth="1"/>
    <col min="12" max="12" width="14.6640625" customWidth="1"/>
  </cols>
  <sheetData>
    <row r="1" spans="1:13" x14ac:dyDescent="0.3">
      <c r="A1" s="11" t="s">
        <v>0</v>
      </c>
      <c r="B1" s="2" t="s">
        <v>1</v>
      </c>
      <c r="C1" s="2" t="s">
        <v>2</v>
      </c>
      <c r="D1" s="2" t="s">
        <v>3</v>
      </c>
      <c r="E1" s="15" t="s">
        <v>4</v>
      </c>
      <c r="F1" s="15" t="s">
        <v>5</v>
      </c>
      <c r="G1" s="2" t="s">
        <v>26</v>
      </c>
      <c r="H1" s="3" t="s">
        <v>27</v>
      </c>
    </row>
    <row r="2" spans="1:13" x14ac:dyDescent="0.3">
      <c r="A2" s="12">
        <v>1</v>
      </c>
      <c r="B2" s="5" t="s">
        <v>6</v>
      </c>
      <c r="C2" s="5" t="s">
        <v>7</v>
      </c>
      <c r="D2" s="5" t="s">
        <v>8</v>
      </c>
      <c r="E2" s="16">
        <v>2</v>
      </c>
      <c r="F2" s="16">
        <v>2</v>
      </c>
      <c r="G2" s="5" t="str">
        <f>_xlfn.XLOOKUP(Deliveries4[[#This Row],[route_id]], Routes[route_id], Routes[service_type])</f>
        <v>Express</v>
      </c>
      <c r="H2" s="6">
        <f>MAX(Deliveries4[[#This Row],[actual_days]] - Deliveries4[[#This Row],[promised_days]], 0)</f>
        <v>0</v>
      </c>
    </row>
    <row r="3" spans="1:13" x14ac:dyDescent="0.3">
      <c r="A3" s="12">
        <v>2</v>
      </c>
      <c r="B3" s="5" t="s">
        <v>6</v>
      </c>
      <c r="C3" s="5" t="s">
        <v>9</v>
      </c>
      <c r="D3" s="5" t="s">
        <v>10</v>
      </c>
      <c r="E3" s="16">
        <v>3</v>
      </c>
      <c r="F3" s="16">
        <v>4</v>
      </c>
      <c r="G3" s="5" t="str">
        <f>_xlfn.XLOOKUP(Deliveries4[[#This Row],[route_id]], Routes[route_id], Routes[service_type])</f>
        <v>Express</v>
      </c>
      <c r="H3" s="6">
        <f>MAX(Deliveries4[[#This Row],[actual_days]] - Deliveries4[[#This Row],[promised_days]], 0)</f>
        <v>1</v>
      </c>
      <c r="I3" s="21" t="s">
        <v>24</v>
      </c>
      <c r="J3" s="21"/>
      <c r="L3" s="21" t="s">
        <v>25</v>
      </c>
      <c r="M3" s="21"/>
    </row>
    <row r="4" spans="1:13" x14ac:dyDescent="0.3">
      <c r="A4" s="12">
        <v>3</v>
      </c>
      <c r="B4" s="5" t="s">
        <v>6</v>
      </c>
      <c r="C4" s="5" t="s">
        <v>11</v>
      </c>
      <c r="D4" s="5" t="s">
        <v>12</v>
      </c>
      <c r="E4" s="16">
        <v>5</v>
      </c>
      <c r="F4" s="16">
        <v>8</v>
      </c>
      <c r="G4" s="5" t="str">
        <f>_xlfn.XLOOKUP(Deliveries4[[#This Row],[route_id]], Routes[route_id], Routes[service_type])</f>
        <v>Standard</v>
      </c>
      <c r="H4" s="6">
        <f>MAX(Deliveries4[[#This Row],[actual_days]] - Deliveries4[[#This Row],[promised_days]], 0)</f>
        <v>3</v>
      </c>
      <c r="I4" s="22">
        <f>COUNTA(Deliveries6[record_id])</f>
        <v>13</v>
      </c>
      <c r="J4" s="22"/>
      <c r="L4" s="22">
        <f>COUNTA(Deliveries4[record_id])</f>
        <v>12</v>
      </c>
      <c r="M4" s="22"/>
    </row>
    <row r="5" spans="1:13" x14ac:dyDescent="0.3">
      <c r="A5" s="12">
        <v>4</v>
      </c>
      <c r="B5" s="5" t="s">
        <v>6</v>
      </c>
      <c r="C5" s="5" t="s">
        <v>13</v>
      </c>
      <c r="D5" s="5" t="s">
        <v>8</v>
      </c>
      <c r="E5" s="16">
        <v>6</v>
      </c>
      <c r="F5" s="16">
        <v>10</v>
      </c>
      <c r="G5" s="5" t="str">
        <f>_xlfn.XLOOKUP(Deliveries4[[#This Row],[route_id]], Routes[route_id], Routes[service_type])</f>
        <v>Standard</v>
      </c>
      <c r="H5" s="6">
        <f>MAX(Deliveries4[[#This Row],[actual_days]] - Deliveries4[[#This Row],[promised_days]], 0)</f>
        <v>4</v>
      </c>
    </row>
    <row r="6" spans="1:13" x14ac:dyDescent="0.3">
      <c r="A6" s="12">
        <v>5</v>
      </c>
      <c r="B6" s="5" t="s">
        <v>14</v>
      </c>
      <c r="C6" s="5" t="s">
        <v>7</v>
      </c>
      <c r="D6" s="5" t="s">
        <v>10</v>
      </c>
      <c r="E6" s="16">
        <v>2</v>
      </c>
      <c r="F6" s="16">
        <v>5</v>
      </c>
      <c r="G6" s="5" t="str">
        <f>_xlfn.XLOOKUP(Deliveries4[[#This Row],[route_id]], Routes[route_id], Routes[service_type])</f>
        <v>Express</v>
      </c>
      <c r="H6" s="6">
        <f>MAX(Deliveries4[[#This Row],[actual_days]] - Deliveries4[[#This Row],[promised_days]], 0)</f>
        <v>3</v>
      </c>
    </row>
    <row r="7" spans="1:13" x14ac:dyDescent="0.3">
      <c r="A7" s="12">
        <v>6</v>
      </c>
      <c r="B7" s="5" t="s">
        <v>14</v>
      </c>
      <c r="C7" s="5" t="s">
        <v>9</v>
      </c>
      <c r="D7" s="5" t="s">
        <v>12</v>
      </c>
      <c r="E7" s="16">
        <v>3</v>
      </c>
      <c r="F7" s="16">
        <v>3</v>
      </c>
      <c r="G7" s="5" t="str">
        <f>_xlfn.XLOOKUP(Deliveries4[[#This Row],[route_id]], Routes[route_id], Routes[service_type])</f>
        <v>Express</v>
      </c>
      <c r="H7" s="6">
        <f>MAX(Deliveries4[[#This Row],[actual_days]] - Deliveries4[[#This Row],[promised_days]], 0)</f>
        <v>0</v>
      </c>
    </row>
    <row r="8" spans="1:13" x14ac:dyDescent="0.3">
      <c r="A8" s="12">
        <v>7</v>
      </c>
      <c r="B8" s="5" t="s">
        <v>14</v>
      </c>
      <c r="C8" s="5" t="s">
        <v>11</v>
      </c>
      <c r="D8" s="5" t="s">
        <v>12</v>
      </c>
      <c r="E8" s="16">
        <v>5</v>
      </c>
      <c r="F8" s="16">
        <v>10</v>
      </c>
      <c r="G8" s="5" t="str">
        <f>_xlfn.XLOOKUP(Deliveries4[[#This Row],[route_id]], Routes[route_id], Routes[service_type])</f>
        <v>Standard</v>
      </c>
      <c r="H8" s="6">
        <f>MAX(Deliveries4[[#This Row],[actual_days]] - Deliveries4[[#This Row],[promised_days]], 0)</f>
        <v>5</v>
      </c>
    </row>
    <row r="9" spans="1:13" x14ac:dyDescent="0.3">
      <c r="A9" s="12">
        <v>8</v>
      </c>
      <c r="B9" s="5" t="s">
        <v>14</v>
      </c>
      <c r="C9" s="5" t="s">
        <v>13</v>
      </c>
      <c r="D9" s="5" t="s">
        <v>10</v>
      </c>
      <c r="E9" s="16">
        <v>6</v>
      </c>
      <c r="F9" s="16">
        <v>7</v>
      </c>
      <c r="G9" s="5" t="str">
        <f>_xlfn.XLOOKUP(Deliveries4[[#This Row],[route_id]], Routes[route_id], Routes[service_type])</f>
        <v>Standard</v>
      </c>
      <c r="H9" s="6">
        <f>MAX(Deliveries4[[#This Row],[actual_days]] - Deliveries4[[#This Row],[promised_days]], 0)</f>
        <v>1</v>
      </c>
    </row>
    <row r="10" spans="1:13" x14ac:dyDescent="0.3">
      <c r="A10" s="12">
        <v>9</v>
      </c>
      <c r="B10" s="5" t="s">
        <v>15</v>
      </c>
      <c r="C10" s="5" t="s">
        <v>7</v>
      </c>
      <c r="D10" s="5" t="s">
        <v>12</v>
      </c>
      <c r="E10" s="16">
        <v>2</v>
      </c>
      <c r="F10" s="16">
        <v>8</v>
      </c>
      <c r="G10" s="5" t="str">
        <f>_xlfn.XLOOKUP(Deliveries4[[#This Row],[route_id]], Routes[route_id], Routes[service_type])</f>
        <v>Express</v>
      </c>
      <c r="H10" s="6">
        <f>MAX(Deliveries4[[#This Row],[actual_days]] - Deliveries4[[#This Row],[promised_days]], 0)</f>
        <v>6</v>
      </c>
    </row>
    <row r="11" spans="1:13" x14ac:dyDescent="0.3">
      <c r="A11" s="12">
        <v>10</v>
      </c>
      <c r="B11" s="5" t="s">
        <v>15</v>
      </c>
      <c r="C11" s="5" t="s">
        <v>9</v>
      </c>
      <c r="D11" s="5" t="s">
        <v>8</v>
      </c>
      <c r="E11" s="16">
        <v>3</v>
      </c>
      <c r="F11" s="16">
        <v>5</v>
      </c>
      <c r="G11" s="5" t="str">
        <f>_xlfn.XLOOKUP(Deliveries4[[#This Row],[route_id]], Routes[route_id], Routes[service_type])</f>
        <v>Express</v>
      </c>
      <c r="H11" s="6">
        <f>MAX(Deliveries4[[#This Row],[actual_days]] - Deliveries4[[#This Row],[promised_days]], 0)</f>
        <v>2</v>
      </c>
    </row>
    <row r="12" spans="1:13" x14ac:dyDescent="0.3">
      <c r="A12" s="12">
        <v>11</v>
      </c>
      <c r="B12" s="5" t="s">
        <v>15</v>
      </c>
      <c r="C12" s="5" t="s">
        <v>11</v>
      </c>
      <c r="D12" s="5" t="s">
        <v>10</v>
      </c>
      <c r="E12" s="16">
        <v>5</v>
      </c>
      <c r="F12" s="16">
        <v>5</v>
      </c>
      <c r="G12" s="5" t="str">
        <f>_xlfn.XLOOKUP(Deliveries4[[#This Row],[route_id]], Routes[route_id], Routes[service_type])</f>
        <v>Standard</v>
      </c>
      <c r="H12" s="6">
        <f>MAX(Deliveries4[[#This Row],[actual_days]] - Deliveries4[[#This Row],[promised_days]], 0)</f>
        <v>0</v>
      </c>
    </row>
    <row r="13" spans="1:13" x14ac:dyDescent="0.3">
      <c r="A13" s="14">
        <v>12</v>
      </c>
      <c r="B13" s="8" t="s">
        <v>15</v>
      </c>
      <c r="C13" s="8" t="s">
        <v>13</v>
      </c>
      <c r="D13" s="8" t="s">
        <v>8</v>
      </c>
      <c r="E13" s="17">
        <v>6</v>
      </c>
      <c r="F13" s="17">
        <v>15</v>
      </c>
      <c r="G13" s="8" t="str">
        <f>_xlfn.XLOOKUP(Deliveries4[[#This Row],[route_id]], Routes[route_id], Routes[service_type])</f>
        <v>Standard</v>
      </c>
      <c r="H13" s="9">
        <f>MAX(Deliveries4[[#This Row],[actual_days]] - Deliveries4[[#This Row],[promised_days]], 0)</f>
        <v>9</v>
      </c>
    </row>
    <row r="17" spans="1:6" x14ac:dyDescent="0.3">
      <c r="A17" s="18"/>
      <c r="B17" s="19"/>
      <c r="C17" s="19"/>
      <c r="D17" s="19"/>
      <c r="E17" s="18"/>
      <c r="F17" s="18"/>
    </row>
    <row r="18" spans="1:6" x14ac:dyDescent="0.3">
      <c r="A18" s="18"/>
      <c r="B18" s="19"/>
      <c r="C18" s="19"/>
      <c r="D18" s="19"/>
      <c r="E18" s="18"/>
      <c r="F18" s="18"/>
    </row>
    <row r="19" spans="1:6" x14ac:dyDescent="0.3">
      <c r="A19" s="18"/>
      <c r="B19" s="19"/>
      <c r="C19" s="19"/>
      <c r="D19" s="19"/>
      <c r="E19" s="18"/>
      <c r="F19" s="18"/>
    </row>
    <row r="20" spans="1:6" x14ac:dyDescent="0.3">
      <c r="A20" s="18"/>
      <c r="B20" s="19"/>
      <c r="C20" s="19"/>
      <c r="D20" s="19"/>
      <c r="E20" s="18"/>
      <c r="F20" s="18"/>
    </row>
    <row r="21" spans="1:6" x14ac:dyDescent="0.3">
      <c r="A21" s="18"/>
      <c r="B21" s="19"/>
      <c r="C21" s="19"/>
      <c r="D21" s="19"/>
      <c r="E21" s="18"/>
      <c r="F21" s="18"/>
    </row>
    <row r="22" spans="1:6" x14ac:dyDescent="0.3">
      <c r="A22" s="18"/>
      <c r="B22" s="19"/>
      <c r="C22" s="19"/>
      <c r="D22" s="19"/>
      <c r="E22" s="18"/>
      <c r="F22" s="18"/>
    </row>
    <row r="23" spans="1:6" x14ac:dyDescent="0.3">
      <c r="A23" s="18"/>
      <c r="B23" s="19"/>
      <c r="C23" s="19"/>
      <c r="D23" s="19"/>
      <c r="E23" s="18"/>
      <c r="F23" s="18"/>
    </row>
    <row r="24" spans="1:6" x14ac:dyDescent="0.3">
      <c r="A24" s="18"/>
      <c r="B24" s="19"/>
      <c r="C24" s="19"/>
      <c r="D24" s="19"/>
      <c r="E24" s="18"/>
      <c r="F24" s="18"/>
    </row>
    <row r="25" spans="1:6" x14ac:dyDescent="0.3">
      <c r="A25" s="18"/>
      <c r="B25" s="19"/>
      <c r="C25" s="19"/>
      <c r="D25" s="19"/>
      <c r="E25" s="18"/>
      <c r="F25" s="18"/>
    </row>
    <row r="26" spans="1:6" x14ac:dyDescent="0.3">
      <c r="A26" s="18"/>
      <c r="B26" s="19"/>
      <c r="C26" s="19"/>
      <c r="D26" s="19"/>
      <c r="E26" s="18"/>
      <c r="F26" s="18"/>
    </row>
    <row r="27" spans="1:6" x14ac:dyDescent="0.3">
      <c r="A27" s="18"/>
      <c r="B27" s="19"/>
      <c r="C27" s="19"/>
      <c r="D27" s="19"/>
      <c r="E27" s="18"/>
      <c r="F27" s="18"/>
    </row>
    <row r="28" spans="1:6" x14ac:dyDescent="0.3">
      <c r="A28" s="18"/>
      <c r="B28" s="19"/>
      <c r="C28" s="19"/>
      <c r="D28" s="19"/>
      <c r="E28" s="18"/>
      <c r="F28" s="18"/>
    </row>
    <row r="29" spans="1:6" x14ac:dyDescent="0.3">
      <c r="A29" s="18"/>
      <c r="B29" s="19"/>
      <c r="C29" s="19"/>
      <c r="D29" s="19"/>
      <c r="E29" s="18"/>
      <c r="F29" s="18"/>
    </row>
    <row r="30" spans="1:6" x14ac:dyDescent="0.3">
      <c r="A30" s="18"/>
      <c r="B30" s="19"/>
      <c r="C30" s="19"/>
      <c r="D30" s="19"/>
      <c r="E30" s="18"/>
      <c r="F30" s="18"/>
    </row>
    <row r="37" spans="1:6" x14ac:dyDescent="0.3">
      <c r="A37" s="1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3" t="s">
        <v>5</v>
      </c>
    </row>
    <row r="38" spans="1:6" x14ac:dyDescent="0.3">
      <c r="A38" s="4">
        <v>1</v>
      </c>
      <c r="B38" s="5" t="s">
        <v>6</v>
      </c>
      <c r="C38" s="5" t="s">
        <v>7</v>
      </c>
      <c r="D38" s="5" t="s">
        <v>8</v>
      </c>
      <c r="E38" s="5">
        <v>2</v>
      </c>
      <c r="F38" s="6">
        <v>2</v>
      </c>
    </row>
    <row r="39" spans="1:6" x14ac:dyDescent="0.3">
      <c r="A39" s="4">
        <v>2</v>
      </c>
      <c r="B39" s="5" t="s">
        <v>6</v>
      </c>
      <c r="C39" s="5" t="s">
        <v>9</v>
      </c>
      <c r="D39" s="5" t="s">
        <v>10</v>
      </c>
      <c r="E39" s="5">
        <v>3</v>
      </c>
      <c r="F39" s="6">
        <v>4</v>
      </c>
    </row>
    <row r="40" spans="1:6" x14ac:dyDescent="0.3">
      <c r="A40" s="4">
        <v>3</v>
      </c>
      <c r="B40" s="5" t="s">
        <v>6</v>
      </c>
      <c r="C40" s="5" t="s">
        <v>11</v>
      </c>
      <c r="D40" s="5" t="s">
        <v>12</v>
      </c>
      <c r="E40" s="5">
        <v>5</v>
      </c>
      <c r="F40" s="6">
        <v>8</v>
      </c>
    </row>
    <row r="41" spans="1:6" x14ac:dyDescent="0.3">
      <c r="A41" s="4">
        <v>4</v>
      </c>
      <c r="B41" s="5" t="s">
        <v>6</v>
      </c>
      <c r="C41" s="5" t="s">
        <v>13</v>
      </c>
      <c r="D41" s="5" t="s">
        <v>8</v>
      </c>
      <c r="E41" s="5">
        <v>6</v>
      </c>
      <c r="F41" s="6">
        <v>10</v>
      </c>
    </row>
    <row r="42" spans="1:6" x14ac:dyDescent="0.3">
      <c r="A42" s="4">
        <v>5</v>
      </c>
      <c r="B42" s="5" t="s">
        <v>14</v>
      </c>
      <c r="C42" s="5" t="s">
        <v>7</v>
      </c>
      <c r="D42" s="5" t="s">
        <v>10</v>
      </c>
      <c r="E42" s="5">
        <v>2</v>
      </c>
      <c r="F42" s="6">
        <v>5</v>
      </c>
    </row>
    <row r="43" spans="1:6" x14ac:dyDescent="0.3">
      <c r="A43" s="4">
        <v>6</v>
      </c>
      <c r="B43" s="5" t="s">
        <v>14</v>
      </c>
      <c r="C43" s="5" t="s">
        <v>9</v>
      </c>
      <c r="D43" s="5" t="s">
        <v>12</v>
      </c>
      <c r="E43" s="5">
        <v>3</v>
      </c>
      <c r="F43" s="6">
        <v>3</v>
      </c>
    </row>
    <row r="44" spans="1:6" x14ac:dyDescent="0.3">
      <c r="A44" s="4">
        <v>7</v>
      </c>
      <c r="B44" s="5" t="s">
        <v>14</v>
      </c>
      <c r="C44" s="5" t="s">
        <v>11</v>
      </c>
      <c r="D44" s="5" t="s">
        <v>12</v>
      </c>
      <c r="E44" s="5">
        <v>5</v>
      </c>
      <c r="F44" s="6">
        <v>10</v>
      </c>
    </row>
    <row r="45" spans="1:6" x14ac:dyDescent="0.3">
      <c r="A45" s="4">
        <v>8</v>
      </c>
      <c r="B45" s="5" t="s">
        <v>14</v>
      </c>
      <c r="C45" s="5" t="s">
        <v>13</v>
      </c>
      <c r="D45" s="5" t="s">
        <v>10</v>
      </c>
      <c r="E45" s="5">
        <v>6</v>
      </c>
      <c r="F45" s="6">
        <v>7</v>
      </c>
    </row>
    <row r="46" spans="1:6" x14ac:dyDescent="0.3">
      <c r="A46" s="4">
        <v>9</v>
      </c>
      <c r="B46" s="5" t="s">
        <v>15</v>
      </c>
      <c r="C46" s="5" t="s">
        <v>7</v>
      </c>
      <c r="D46" s="5" t="s">
        <v>12</v>
      </c>
      <c r="E46" s="5">
        <v>2</v>
      </c>
      <c r="F46" s="6">
        <v>8</v>
      </c>
    </row>
    <row r="47" spans="1:6" x14ac:dyDescent="0.3">
      <c r="A47" s="4">
        <v>10</v>
      </c>
      <c r="B47" s="5" t="s">
        <v>15</v>
      </c>
      <c r="C47" s="5" t="s">
        <v>9</v>
      </c>
      <c r="D47" s="5" t="s">
        <v>8</v>
      </c>
      <c r="E47" s="5">
        <v>3</v>
      </c>
      <c r="F47" s="6">
        <v>5</v>
      </c>
    </row>
    <row r="48" spans="1:6" x14ac:dyDescent="0.3">
      <c r="A48" s="4">
        <v>11</v>
      </c>
      <c r="B48" s="5" t="s">
        <v>15</v>
      </c>
      <c r="C48" s="5" t="s">
        <v>11</v>
      </c>
      <c r="D48" s="5" t="s">
        <v>10</v>
      </c>
      <c r="E48" s="5">
        <v>5</v>
      </c>
      <c r="F48" s="6">
        <v>5</v>
      </c>
    </row>
    <row r="49" spans="1:6" x14ac:dyDescent="0.3">
      <c r="A49" s="4">
        <v>12</v>
      </c>
      <c r="B49" s="5" t="s">
        <v>15</v>
      </c>
      <c r="C49" s="5" t="s">
        <v>13</v>
      </c>
      <c r="D49" s="5" t="s">
        <v>8</v>
      </c>
      <c r="E49" s="5">
        <v>6</v>
      </c>
      <c r="F49" s="6">
        <v>15</v>
      </c>
    </row>
    <row r="50" spans="1:6" x14ac:dyDescent="0.3">
      <c r="A50" s="7">
        <v>12</v>
      </c>
      <c r="B50" s="8" t="s">
        <v>15</v>
      </c>
      <c r="C50" s="8" t="s">
        <v>13</v>
      </c>
      <c r="D50" s="8" t="s">
        <v>8</v>
      </c>
      <c r="E50" s="8">
        <v>6</v>
      </c>
      <c r="F50" s="9">
        <v>15</v>
      </c>
    </row>
  </sheetData>
  <mergeCells count="4">
    <mergeCell ref="I3:J3"/>
    <mergeCell ref="I4:J4"/>
    <mergeCell ref="L3:M3"/>
    <mergeCell ref="L4:M4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2AF4-1627-406E-AB90-E1E109F0BCF4}">
  <dimension ref="A2:N8"/>
  <sheetViews>
    <sheetView tabSelected="1" workbookViewId="0">
      <selection activeCell="N8" sqref="N8"/>
    </sheetView>
  </sheetViews>
  <sheetFormatPr defaultRowHeight="14.4" x14ac:dyDescent="0.3"/>
  <cols>
    <col min="1" max="1" width="16.5546875" bestFit="1" customWidth="1"/>
    <col min="2" max="2" width="15.5546875" bestFit="1" customWidth="1"/>
    <col min="3" max="3" width="8.109375" customWidth="1"/>
    <col min="4" max="4" width="8.88671875" customWidth="1"/>
    <col min="5" max="5" width="10.5546875" bestFit="1" customWidth="1"/>
  </cols>
  <sheetData>
    <row r="2" spans="1:14" x14ac:dyDescent="0.3">
      <c r="A2" s="24" t="s">
        <v>33</v>
      </c>
      <c r="B2" s="25"/>
      <c r="C2" s="25"/>
      <c r="D2" s="25"/>
      <c r="E2" s="25"/>
    </row>
    <row r="3" spans="1:14" x14ac:dyDescent="0.3">
      <c r="A3" s="26"/>
      <c r="B3" s="26"/>
      <c r="C3" s="26"/>
      <c r="D3" s="26"/>
      <c r="E3" s="26"/>
    </row>
    <row r="4" spans="1:14" x14ac:dyDescent="0.3">
      <c r="A4" s="20" t="s">
        <v>32</v>
      </c>
      <c r="B4" s="20" t="s">
        <v>31</v>
      </c>
      <c r="C4" s="5"/>
      <c r="D4" s="5"/>
      <c r="E4" s="5"/>
    </row>
    <row r="5" spans="1:14" x14ac:dyDescent="0.3">
      <c r="A5" s="20" t="s">
        <v>29</v>
      </c>
      <c r="B5" s="5" t="s">
        <v>6</v>
      </c>
      <c r="C5" s="5" t="s">
        <v>14</v>
      </c>
      <c r="D5" s="5" t="s">
        <v>15</v>
      </c>
      <c r="E5" s="5" t="s">
        <v>30</v>
      </c>
      <c r="L5" s="21" t="s">
        <v>28</v>
      </c>
      <c r="M5" s="23"/>
      <c r="N5" s="23"/>
    </row>
    <row r="6" spans="1:14" x14ac:dyDescent="0.3">
      <c r="A6" s="5" t="s">
        <v>19</v>
      </c>
      <c r="B6" s="5">
        <v>1</v>
      </c>
      <c r="C6" s="5">
        <v>3</v>
      </c>
      <c r="D6" s="5">
        <v>8</v>
      </c>
      <c r="E6" s="5">
        <v>12</v>
      </c>
      <c r="L6" s="22" t="s">
        <v>8</v>
      </c>
      <c r="M6" s="22"/>
      <c r="N6" s="10">
        <f>SUMIFS(Deliveries4[Delay_Days], Deliveries4[hub], "Mumbai")</f>
        <v>15</v>
      </c>
    </row>
    <row r="7" spans="1:14" x14ac:dyDescent="0.3">
      <c r="A7" s="5" t="s">
        <v>22</v>
      </c>
      <c r="B7" s="5">
        <v>7</v>
      </c>
      <c r="C7" s="5">
        <v>6</v>
      </c>
      <c r="D7" s="5">
        <v>9</v>
      </c>
      <c r="E7" s="5">
        <v>22</v>
      </c>
      <c r="L7" s="22" t="s">
        <v>10</v>
      </c>
      <c r="M7" s="22"/>
      <c r="N7" s="10">
        <f>SUMIFS(Deliveries4[Delay_Days], Deliveries4[hub], "Chennai")</f>
        <v>5</v>
      </c>
    </row>
    <row r="8" spans="1:14" x14ac:dyDescent="0.3">
      <c r="A8" s="5" t="s">
        <v>30</v>
      </c>
      <c r="B8" s="5">
        <v>8</v>
      </c>
      <c r="C8" s="5">
        <v>9</v>
      </c>
      <c r="D8" s="5">
        <v>17</v>
      </c>
      <c r="E8" s="5">
        <v>34</v>
      </c>
      <c r="L8" s="22" t="s">
        <v>12</v>
      </c>
      <c r="M8" s="22"/>
      <c r="N8" s="10">
        <f>SUMIFS(Deliveries4[Delay_Days], Deliveries4[hub], "Delhi")</f>
        <v>14</v>
      </c>
    </row>
  </sheetData>
  <mergeCells count="5">
    <mergeCell ref="L5:N5"/>
    <mergeCell ref="L6:M6"/>
    <mergeCell ref="L7:M7"/>
    <mergeCell ref="L8:M8"/>
    <mergeCell ref="A2:E3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D7C16B-6CE7-4400-A52A-BE5CD86090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Sheet</vt:lpstr>
      <vt:lpstr>Lookup Sheet</vt:lpstr>
      <vt:lpstr>Clean Sheet</vt:lpstr>
      <vt:lpstr>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Bagle</dc:creator>
  <cp:lastModifiedBy>Tushar Bagle</cp:lastModifiedBy>
  <dcterms:created xsi:type="dcterms:W3CDTF">2026-09-26T04:22:36Z</dcterms:created>
  <dcterms:modified xsi:type="dcterms:W3CDTF">2026-09-26T07:54:35Z</dcterms:modified>
</cp:coreProperties>
</file>